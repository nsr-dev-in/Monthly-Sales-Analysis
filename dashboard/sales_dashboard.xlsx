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ha\OneDrive\Desktop\"/>
    </mc:Choice>
  </mc:AlternateContent>
  <xr:revisionPtr revIDLastSave="0" documentId="13_ncr:1_{D7C6907F-5BA3-49CE-A695-22842B6A847B}" xr6:coauthVersionLast="47" xr6:coauthVersionMax="47" xr10:uidLastSave="{00000000-0000-0000-0000-000000000000}"/>
  <bookViews>
    <workbookView xWindow="-108" yWindow="-108" windowWidth="23256" windowHeight="13176" xr2:uid="{881FA94D-48FE-4AE3-B469-B9C3EC3AF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C4" i="1"/>
  <c r="C5" i="1"/>
  <c r="C6" i="1"/>
  <c r="C7" i="1"/>
  <c r="C8" i="1"/>
  <c r="C9" i="1"/>
  <c r="C10" i="1"/>
  <c r="C11" i="1"/>
  <c r="C12" i="1"/>
  <c r="C13" i="1"/>
  <c r="C3" i="1"/>
  <c r="B20" i="1"/>
  <c r="B19" i="1"/>
  <c r="B18" i="1"/>
  <c r="B17" i="1"/>
</calcChain>
</file>

<file path=xl/sharedStrings.xml><?xml version="1.0" encoding="utf-8"?>
<sst xmlns="http://schemas.openxmlformats.org/spreadsheetml/2006/main" count="31" uniqueCount="31">
  <si>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</si>
  <si>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</si>
  <si>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</si>
  <si>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</si>
  <si>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</si>
  <si>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</si>
  <si>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</si>
  <si>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</si>
  <si>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</si>
  <si>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</si>
  <si>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</si>
  <si>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</si>
  <si>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</si>
  <si>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</si>
  <si>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Important Metrics</t>
  </si>
  <si>
    <t>Total Sales</t>
  </si>
  <si>
    <t>Value</t>
  </si>
  <si>
    <t>SUM(B2:B13)</t>
  </si>
  <si>
    <t>Formula =</t>
  </si>
  <si>
    <t>Average Sales</t>
  </si>
  <si>
    <t>AVERAGE(B2:B13)</t>
  </si>
  <si>
    <t>Maximum Sales</t>
  </si>
  <si>
    <t>Minimum Sales</t>
  </si>
  <si>
    <t>MIN(B2:B13)</t>
  </si>
  <si>
    <t>MAX(B2:B13)</t>
  </si>
  <si>
    <t>Mom Growth (%)</t>
  </si>
  <si>
    <t>-</t>
  </si>
  <si>
    <t>Best Performing Month</t>
  </si>
  <si>
    <t>XLOOKUP(MAX(B2:B13),B2:B13,A2:A13)</t>
  </si>
  <si>
    <t>Worst Performing Month</t>
  </si>
  <si>
    <t>XLOOKUP(MIN(B2:B13),B2:B13,A2:A13)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</si>
</sst>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sz val="12"/>
      <color theme="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9" fontId="0" fillId="3" borderId="1" xfId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2" fontId="0" fillId="5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85000</c:v>
                </c:pt>
                <c:pt idx="1">
                  <c:v>92000</c:v>
                </c:pt>
                <c:pt idx="2">
                  <c:v>98000</c:v>
                </c:pt>
                <c:pt idx="3">
                  <c:v>105000</c:v>
                </c:pt>
                <c:pt idx="4">
                  <c:v>110000</c:v>
                </c:pt>
                <c:pt idx="5">
                  <c:v>125000</c:v>
                </c:pt>
                <c:pt idx="6">
                  <c:v>118000</c:v>
                </c:pt>
                <c:pt idx="7">
                  <c:v>132000</c:v>
                </c:pt>
                <c:pt idx="8">
                  <c:v>128000</c:v>
                </c:pt>
                <c:pt idx="9">
                  <c:v>145000</c:v>
                </c:pt>
                <c:pt idx="10">
                  <c:v>160000</c:v>
                </c:pt>
                <c:pt idx="11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E-4B18-85FB-8A9F5260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50361504"/>
        <c:axId val="1650366304"/>
      </c:lineChart>
      <c:catAx>
        <c:axId val="16503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66304"/>
        <c:crosses val="autoZero"/>
        <c:auto val="1"/>
        <c:lblAlgn val="ctr"/>
        <c:lblOffset val="100"/>
        <c:noMultiLvlLbl val="0"/>
      </c:catAx>
      <c:valAx>
        <c:axId val="165036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615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by Months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85000</c:v>
                </c:pt>
                <c:pt idx="1">
                  <c:v>92000</c:v>
                </c:pt>
                <c:pt idx="2">
                  <c:v>98000</c:v>
                </c:pt>
                <c:pt idx="3">
                  <c:v>105000</c:v>
                </c:pt>
                <c:pt idx="4">
                  <c:v>110000</c:v>
                </c:pt>
                <c:pt idx="5">
                  <c:v>125000</c:v>
                </c:pt>
                <c:pt idx="6">
                  <c:v>118000</c:v>
                </c:pt>
                <c:pt idx="7">
                  <c:v>132000</c:v>
                </c:pt>
                <c:pt idx="8">
                  <c:v>128000</c:v>
                </c:pt>
                <c:pt idx="9">
                  <c:v>145000</c:v>
                </c:pt>
                <c:pt idx="10">
                  <c:v>160000</c:v>
                </c:pt>
                <c:pt idx="11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1-480B-A27A-61647FA81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0320224"/>
        <c:axId val="1650321184"/>
      </c:barChart>
      <c:catAx>
        <c:axId val="165032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21184"/>
        <c:crosses val="autoZero"/>
        <c:auto val="1"/>
        <c:lblAlgn val="ctr"/>
        <c:lblOffset val="100"/>
        <c:noMultiLvlLbl val="0"/>
      </c:catAx>
      <c:valAx>
        <c:axId val="16503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2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0</xdr:colOff>
      <xdr:row>14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16325-61C0-E8C2-5510-AA47F9972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10</xdr:col>
      <xdr:colOff>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0E85C0-6322-1E6C-0210-C4A5BDB6B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48B2-36B4-4015-ACC4-4A256344BDB4}">
  <dimension ref="A1:C22"/>
  <sheetViews>
    <sheetView tabSelected="1" workbookViewId="0">
      <selection activeCell="L12" sqref="L12"/>
    </sheetView>
  </sheetViews>
  <sheetFormatPr defaultRowHeight="13.8" x14ac:dyDescent="0.25"/>
  <cols>
    <col min="1" max="1" width="27.19921875" customWidth="1"/>
    <col min="2" max="2" width="9.5" customWidth="1"/>
    <col min="3" max="3" width="33.69921875" customWidth="1"/>
    <col min="4" max="4" width="14.296875" customWidth="1"/>
    <col min="5" max="5" width="21.296875" customWidth="1"/>
  </cols>
  <sheetData>
    <row r="1" spans="1:3" ht="15.6" x14ac:dyDescent="0.25">
      <c r="A1" s="1" t="s">
        <v>0</v>
      </c>
      <c r="B1" s="1" t="s">
        <v>1</v>
      </c>
      <c r="C1" s="2" t="s">
        <v>25</v>
      </c>
    </row>
    <row r="2" spans="1:3" x14ac:dyDescent="0.25">
      <c r="A2" s="3" t="s">
        <v>2</v>
      </c>
      <c r="B2" s="3">
        <v>85000</v>
      </c>
      <c r="C2" s="4" t="s">
        <v>26</v>
      </c>
    </row>
    <row r="3" spans="1:3" x14ac:dyDescent="0.25">
      <c r="A3" s="3" t="s">
        <v>3</v>
      </c>
      <c r="B3" s="3">
        <v>92000</v>
      </c>
      <c r="C3" s="4">
        <f>(B3-B2)/B2</f>
        <v>8.2352941176470587E-2</v>
      </c>
    </row>
    <row r="4" spans="1:3" x14ac:dyDescent="0.25">
      <c r="A4" s="3" t="s">
        <v>4</v>
      </c>
      <c r="B4" s="3">
        <v>98000</v>
      </c>
      <c r="C4" s="4">
        <f t="shared" ref="C4:C13" si="0">(B4-B3)/B3</f>
        <v>6.5217391304347824E-2</v>
      </c>
    </row>
    <row r="5" spans="1:3" x14ac:dyDescent="0.25">
      <c r="A5" s="3" t="s">
        <v>5</v>
      </c>
      <c r="B5" s="3">
        <v>105000</v>
      </c>
      <c r="C5" s="4">
        <f t="shared" si="0"/>
        <v>7.1428571428571425E-2</v>
      </c>
    </row>
    <row r="6" spans="1:3" x14ac:dyDescent="0.25">
      <c r="A6" s="3" t="s">
        <v>6</v>
      </c>
      <c r="B6" s="3">
        <v>110000</v>
      </c>
      <c r="C6" s="4">
        <f t="shared" si="0"/>
        <v>4.7619047619047616E-2</v>
      </c>
    </row>
    <row r="7" spans="1:3" x14ac:dyDescent="0.25">
      <c r="A7" s="3" t="s">
        <v>7</v>
      </c>
      <c r="B7" s="3">
        <v>125000</v>
      </c>
      <c r="C7" s="4">
        <f t="shared" si="0"/>
        <v>0.13636363636363635</v>
      </c>
    </row>
    <row r="8" spans="1:3" x14ac:dyDescent="0.25">
      <c r="A8" s="3" t="s">
        <v>8</v>
      </c>
      <c r="B8" s="3">
        <v>118000</v>
      </c>
      <c r="C8" s="4">
        <f t="shared" si="0"/>
        <v>-5.6000000000000001E-2</v>
      </c>
    </row>
    <row r="9" spans="1:3" x14ac:dyDescent="0.25">
      <c r="A9" s="3" t="s">
        <v>9</v>
      </c>
      <c r="B9" s="3">
        <v>132000</v>
      </c>
      <c r="C9" s="4">
        <f t="shared" si="0"/>
        <v>0.11864406779661017</v>
      </c>
    </row>
    <row r="10" spans="1:3" x14ac:dyDescent="0.25">
      <c r="A10" s="3" t="s">
        <v>10</v>
      </c>
      <c r="B10" s="3">
        <v>128000</v>
      </c>
      <c r="C10" s="4">
        <f t="shared" si="0"/>
        <v>-3.0303030303030304E-2</v>
      </c>
    </row>
    <row r="11" spans="1:3" x14ac:dyDescent="0.25">
      <c r="A11" s="3" t="s">
        <v>11</v>
      </c>
      <c r="B11" s="3">
        <v>145000</v>
      </c>
      <c r="C11" s="4">
        <f t="shared" si="0"/>
        <v>0.1328125</v>
      </c>
    </row>
    <row r="12" spans="1:3" x14ac:dyDescent="0.25">
      <c r="A12" s="3" t="s">
        <v>12</v>
      </c>
      <c r="B12" s="3">
        <v>160000</v>
      </c>
      <c r="C12" s="4">
        <f t="shared" si="0"/>
        <v>0.10344827586206896</v>
      </c>
    </row>
    <row r="13" spans="1:3" x14ac:dyDescent="0.25">
      <c r="A13" s="3" t="s">
        <v>13</v>
      </c>
      <c r="B13" s="3">
        <v>180000</v>
      </c>
      <c r="C13" s="4">
        <f t="shared" si="0"/>
        <v>0.125</v>
      </c>
    </row>
    <row r="16" spans="1:3" ht="15.6" x14ac:dyDescent="0.3">
      <c r="A16" s="5" t="s">
        <v>14</v>
      </c>
      <c r="B16" s="6" t="s">
        <v>16</v>
      </c>
      <c r="C16" s="6" t="s">
        <v>18</v>
      </c>
    </row>
    <row r="17" spans="1:3" x14ac:dyDescent="0.25">
      <c r="A17" s="7" t="s">
        <v>15</v>
      </c>
      <c r="B17" s="8">
        <f>SUM(B2:B13)</f>
        <v>1478000</v>
      </c>
      <c r="C17" s="8" t="s">
        <v>17</v>
      </c>
    </row>
    <row r="18" spans="1:3" x14ac:dyDescent="0.25">
      <c r="A18" s="7" t="s">
        <v>19</v>
      </c>
      <c r="B18" s="9">
        <f>AVERAGE(B2:B13)</f>
        <v>123166.66666666667</v>
      </c>
      <c r="C18" s="8" t="s">
        <v>20</v>
      </c>
    </row>
    <row r="19" spans="1:3" x14ac:dyDescent="0.25">
      <c r="A19" s="7" t="s">
        <v>21</v>
      </c>
      <c r="B19" s="8">
        <f>MAX(B2:B13)</f>
        <v>180000</v>
      </c>
      <c r="C19" s="8" t="s">
        <v>24</v>
      </c>
    </row>
    <row r="20" spans="1:3" x14ac:dyDescent="0.25">
      <c r="A20" s="7" t="s">
        <v>22</v>
      </c>
      <c r="B20" s="8">
        <f>MIN(B2:B13)</f>
        <v>85000</v>
      </c>
      <c r="C20" s="8" t="s">
        <v>23</v>
      </c>
    </row>
    <row r="21" spans="1:3" x14ac:dyDescent="0.25">
      <c r="A21" s="7" t="s">
        <v>27</v>
      </c>
      <c r="B21" s="8" t="str">
        <f>_xlfn.XLOOKUP(MAX(B2:B13),B2:B13,A2:A13)</f>
        <v>December</v>
      </c>
      <c r="C21" s="8" t="s">
        <v>28</v>
      </c>
    </row>
    <row r="22" spans="1:3" x14ac:dyDescent="0.25">
      <c r="A22" s="7" t="s">
        <v>29</v>
      </c>
      <c r="B22" s="8" t="str">
        <f>_xlfn.XLOOKUP(MIN(B2:B13),B2:B13,A2:A13)</f>
        <v>January</v>
      </c>
      <c r="C22" s="8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Singh</dc:creator>
  <cp:lastModifiedBy>Nitin Singh</cp:lastModifiedBy>
  <dcterms:created xsi:type="dcterms:W3CDTF">2026-06-20T05:49:07Z</dcterms:created>
  <dcterms:modified xsi:type="dcterms:W3CDTF">2026-06-20T06:12:31Z</dcterms:modified>
</cp:coreProperties>
</file>